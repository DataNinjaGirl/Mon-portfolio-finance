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lmulye\Downloads\IFRS 16\"/>
    </mc:Choice>
  </mc:AlternateContent>
  <xr:revisionPtr revIDLastSave="0" documentId="13_ncr:1_{D91D3E1E-3B0C-4547-998D-9A6A41B2BEF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Advanced Session 3" sheetId="1" r:id="rId1"/>
  </sheets>
  <definedNames>
    <definedName name="solver_adj" localSheetId="0" hidden="1">'Advanced Session 3'!$C$10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'Advanced Session 3'!$E$20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700000</definedName>
    <definedName name="solver_ver" localSheetId="0" hidden="1">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I17" i="1" s="1"/>
  <c r="J11" i="1" l="1"/>
  <c r="C11" i="1"/>
  <c r="C12" i="1" s="1"/>
  <c r="C13" i="1" s="1"/>
  <c r="C14" i="1" s="1"/>
  <c r="C15" i="1" s="1"/>
  <c r="C16" i="1" s="1"/>
  <c r="C17" i="1" s="1"/>
  <c r="C18" i="1" s="1"/>
  <c r="C19" i="1" s="1"/>
  <c r="C6" i="1" l="1"/>
  <c r="D10" i="1" s="1"/>
  <c r="D11" i="1" l="1"/>
  <c r="E10" i="1"/>
  <c r="D12" i="1" l="1"/>
  <c r="E11" i="1"/>
  <c r="E12" i="1" l="1"/>
  <c r="D13" i="1"/>
  <c r="E13" i="1" l="1"/>
  <c r="D14" i="1"/>
  <c r="D15" i="1" s="1"/>
  <c r="D16" i="1" s="1"/>
  <c r="D17" i="1" s="1"/>
  <c r="D18" i="1" s="1"/>
  <c r="D19" i="1" s="1"/>
  <c r="E14" i="1" l="1"/>
  <c r="E15" i="1"/>
  <c r="E16" i="1" l="1"/>
  <c r="E17" i="1" l="1"/>
  <c r="E18" i="1" l="1"/>
  <c r="E19" i="1" l="1"/>
  <c r="E20" i="1" l="1"/>
  <c r="I10" i="1" s="1"/>
  <c r="J12" i="1" l="1"/>
  <c r="J22" i="1"/>
  <c r="I21" i="1" s="1"/>
  <c r="J26" i="1"/>
  <c r="I25" i="1" s="1"/>
  <c r="J13" i="1"/>
</calcChain>
</file>

<file path=xl/sharedStrings.xml><?xml version="1.0" encoding="utf-8"?>
<sst xmlns="http://schemas.openxmlformats.org/spreadsheetml/2006/main" count="37" uniqueCount="36">
  <si>
    <t>Years</t>
  </si>
  <si>
    <t>Amounts</t>
  </si>
  <si>
    <t xml:space="preserve">Discount variable </t>
  </si>
  <si>
    <t>Discounted amounts</t>
  </si>
  <si>
    <t>First year discount variable</t>
  </si>
  <si>
    <t>Interest rate implicit in the lease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</si>
  <si>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</si>
  <si>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</si>
  <si>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</si>
  <si>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</si>
  <si>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</si>
  <si>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</si>
  <si>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</si>
  <si>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</si>
  <si>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</si>
  <si>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</si>
  <si>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Present value of lease payments</t>
  </si>
  <si>
    <t>Lease payments</t>
  </si>
  <si>
    <t>Fair value of property</t>
  </si>
  <si>
    <t xml:space="preserve">Property's carrying amount </t>
  </si>
  <si>
    <t>Cr. Gain on sale</t>
  </si>
  <si>
    <t>Cr. Cash</t>
  </si>
  <si>
    <t>Cr. Right-of-use asset</t>
  </si>
  <si>
    <t>Dr. Depreciation expense</t>
  </si>
  <si>
    <t>Dr. Lease liability</t>
  </si>
  <si>
    <t>Dr. Interest expense</t>
  </si>
  <si>
    <t>Cr. Lease liability</t>
  </si>
  <si>
    <t>To record the lease payment</t>
  </si>
  <si>
    <t>To record the interest expense on the lease</t>
  </si>
  <si>
    <t>To record depreciation expense on the right-of-use asset</t>
  </si>
  <si>
    <r>
      <rPr>
        <b/>
        <sz val="12"/>
        <rFont val="Calibri"/>
        <family val="2"/>
      </rPr>
      <t>What are the accounting journal entries at</t>
    </r>
    <r>
      <rPr>
        <b/>
        <sz val="12"/>
        <color rgb="FF002060"/>
        <rFont val="Calibri"/>
        <family val="2"/>
      </rPr>
      <t xml:space="preserve"> </t>
    </r>
    <r>
      <rPr>
        <b/>
        <sz val="12"/>
        <rFont val="Calibri"/>
        <family val="2"/>
      </rPr>
      <t>1 January 20X1?</t>
    </r>
  </si>
  <si>
    <r>
      <t>Cr</t>
    </r>
    <r>
      <rPr>
        <sz val="10.8"/>
        <color rgb="FFFF0000"/>
        <rFont val="Calibri"/>
        <family val="2"/>
      </rPr>
      <t>.</t>
    </r>
    <r>
      <rPr>
        <sz val="12"/>
        <rFont val="Calibri"/>
        <family val="2"/>
      </rPr>
      <t xml:space="preserve"> Property, plant &amp; equipment</t>
    </r>
  </si>
  <si>
    <t>Dr. Cash</t>
  </si>
  <si>
    <t>Dr. Right-of-use asset</t>
  </si>
  <si>
    <t>To recognize the sale of the property and the leaseback of the same property</t>
  </si>
  <si>
    <r>
      <rPr>
        <b/>
        <sz val="12"/>
        <rFont val="Calibri"/>
        <family val="2"/>
      </rPr>
      <t>What are the accounting journal entries at the end of</t>
    </r>
    <r>
      <rPr>
        <b/>
        <sz val="12"/>
        <color rgb="FF002060"/>
        <rFont val="Calibri"/>
        <family val="2"/>
      </rPr>
      <t xml:space="preserve"> </t>
    </r>
    <r>
      <rPr>
        <b/>
        <sz val="12"/>
        <rFont val="Calibri"/>
        <family val="2"/>
      </rPr>
      <t>20X</t>
    </r>
    <r>
      <rPr>
        <b/>
        <sz val="12"/>
        <color rgb="FF002060"/>
        <rFont val="Calibri"/>
        <family val="2"/>
      </rPr>
      <t>1</t>
    </r>
    <r>
      <rPr>
        <b/>
        <sz val="12"/>
        <rFont val="Calibri"/>
        <family val="2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</si>
</sst>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  <numFmt numFmtId="167" formatCode="_-&quot;$&quot;* #,##0_-;\-&quot;$&quot;* #,##0_-;_-&quot;$&quot;* &quot;-&quot;??_-;_-@_-"/>
  </numFmts>
  <fonts count="10" x14ac:knownFonts="1">
    <font>
      <sz val="12"/>
      <name val="Times New Roman"/>
      <family val="1"/>
    </font>
    <font>
      <sz val="12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2"/>
      <color rgb="FF002060"/>
      <name val="Calibri"/>
      <family val="2"/>
    </font>
    <font>
      <i/>
      <sz val="12"/>
      <name val="Calibri"/>
      <family val="2"/>
    </font>
    <font>
      <sz val="10.8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2" fillId="0" borderId="0" xfId="0" applyFont="1"/>
    <xf numFmtId="166" fontId="2" fillId="0" borderId="0" xfId="1" applyNumberFormat="1" applyFont="1"/>
    <xf numFmtId="10" fontId="2" fillId="0" borderId="0" xfId="1" applyNumberFormat="1" applyFont="1"/>
    <xf numFmtId="10" fontId="2" fillId="0" borderId="0" xfId="0" applyNumberFormat="1" applyFont="1"/>
    <xf numFmtId="165" fontId="2" fillId="0" borderId="0" xfId="1" applyFont="1"/>
    <xf numFmtId="0" fontId="2" fillId="0" borderId="0" xfId="0" applyFont="1" applyFill="1"/>
    <xf numFmtId="0" fontId="3" fillId="0" borderId="0" xfId="0" applyFont="1" applyAlignment="1">
      <alignment horizontal="center" vertical="justify" wrapText="1"/>
    </xf>
    <xf numFmtId="0" fontId="3" fillId="0" borderId="0" xfId="0" applyFont="1" applyFill="1" applyAlignment="1">
      <alignment horizontal="center" vertical="justify" wrapText="1"/>
    </xf>
    <xf numFmtId="0" fontId="4" fillId="0" borderId="0" xfId="0" applyFont="1"/>
    <xf numFmtId="3" fontId="2" fillId="0" borderId="0" xfId="0" applyNumberFormat="1" applyFont="1" applyFill="1"/>
    <xf numFmtId="10" fontId="4" fillId="0" borderId="0" xfId="0" applyNumberFormat="1" applyFont="1" applyFill="1"/>
    <xf numFmtId="166" fontId="2" fillId="0" borderId="0" xfId="0" applyNumberFormat="1" applyFont="1" applyFill="1"/>
    <xf numFmtId="166" fontId="2" fillId="0" borderId="0" xfId="1" applyNumberFormat="1" applyFont="1" applyFill="1"/>
    <xf numFmtId="0" fontId="5" fillId="0" borderId="0" xfId="0" applyFont="1"/>
    <xf numFmtId="166" fontId="5" fillId="0" borderId="0" xfId="1" applyNumberFormat="1" applyFont="1"/>
    <xf numFmtId="10" fontId="5" fillId="0" borderId="0" xfId="0" applyNumberFormat="1" applyFont="1"/>
    <xf numFmtId="165" fontId="5" fillId="0" borderId="0" xfId="1" applyFont="1"/>
    <xf numFmtId="0" fontId="5" fillId="0" borderId="0" xfId="0" applyFont="1" applyFill="1"/>
    <xf numFmtId="0" fontId="6" fillId="0" borderId="0" xfId="0" applyFont="1" applyAlignment="1">
      <alignment horizontal="center" vertical="justify" wrapText="1"/>
    </xf>
    <xf numFmtId="0" fontId="6" fillId="0" borderId="0" xfId="0" applyFont="1" applyFill="1" applyAlignment="1">
      <alignment horizontal="center" vertical="justify" wrapText="1"/>
    </xf>
    <xf numFmtId="0" fontId="7" fillId="0" borderId="0" xfId="0" applyFont="1"/>
    <xf numFmtId="0" fontId="6" fillId="0" borderId="0" xfId="0" applyFont="1"/>
    <xf numFmtId="166" fontId="5" fillId="2" borderId="0" xfId="1" applyNumberFormat="1" applyFont="1" applyFill="1"/>
    <xf numFmtId="0" fontId="5" fillId="0" borderId="0" xfId="0" applyFont="1" applyAlignment="1">
      <alignment horizontal="left" indent="1"/>
    </xf>
    <xf numFmtId="166" fontId="5" fillId="0" borderId="0" xfId="0" applyNumberFormat="1" applyFont="1"/>
    <xf numFmtId="0" fontId="8" fillId="0" borderId="0" xfId="0" applyFont="1"/>
    <xf numFmtId="9" fontId="5" fillId="0" borderId="0" xfId="1" applyNumberFormat="1" applyFont="1"/>
    <xf numFmtId="0" fontId="6" fillId="3" borderId="0" xfId="0" applyFont="1" applyFill="1"/>
    <xf numFmtId="0" fontId="5" fillId="3" borderId="0" xfId="0" applyFont="1" applyFill="1"/>
    <xf numFmtId="166" fontId="5" fillId="3" borderId="1" xfId="1" applyNumberFormat="1" applyFont="1" applyFill="1" applyBorder="1"/>
    <xf numFmtId="165" fontId="5" fillId="0" borderId="0" xfId="1" applyNumberFormat="1" applyFont="1"/>
    <xf numFmtId="167" fontId="5" fillId="0" borderId="0" xfId="2" applyNumberFormat="1" applyFont="1" applyAlignme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91721</xdr:colOff>
      <xdr:row>26</xdr:row>
      <xdr:rowOff>112889</xdr:rowOff>
    </xdr:from>
    <xdr:to>
      <xdr:col>12</xdr:col>
      <xdr:colOff>373943</xdr:colOff>
      <xdr:row>30</xdr:row>
      <xdr:rowOff>0</xdr:rowOff>
    </xdr:to>
    <xdr:sp macro="" textlink="">
      <xdr:nvSpPr>
        <xdr:cNvPr id="3" name="Rounded Rectangular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994443" y="5969000"/>
          <a:ext cx="1622778" cy="762000"/>
        </a:xfrm>
        <a:prstGeom prst="wedgeRoundRectCallout">
          <a:avLst>
            <a:gd name="adj1" fmla="val -90428"/>
            <a:gd name="adj2" fmla="val -6358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right-of-use asset is depreciated over the lease term of 10 years.</a:t>
          </a:r>
          <a:endParaRPr lang="en-AU" sz="1100" b="0"/>
        </a:p>
      </xdr:txBody>
    </xdr:sp>
    <xdr:clientData/>
  </xdr:twoCellAnchor>
  <xdr:twoCellAnchor>
    <xdr:from>
      <xdr:col>10</xdr:col>
      <xdr:colOff>109361</xdr:colOff>
      <xdr:row>22</xdr:row>
      <xdr:rowOff>45860</xdr:rowOff>
    </xdr:from>
    <xdr:to>
      <xdr:col>12</xdr:col>
      <xdr:colOff>299861</xdr:colOff>
      <xdr:row>25</xdr:row>
      <xdr:rowOff>197556</xdr:rowOff>
    </xdr:to>
    <xdr:sp macro="" textlink="">
      <xdr:nvSpPr>
        <xdr:cNvPr id="4" name="Rounded Rectangular Callou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012083" y="5027082"/>
          <a:ext cx="1531056" cy="807863"/>
        </a:xfrm>
        <a:prstGeom prst="wedgeRoundRectCallout">
          <a:avLst>
            <a:gd name="adj1" fmla="val -56979"/>
            <a:gd name="adj2" fmla="val -6732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lease liability is accreted at the discount rate of 6%. </a:t>
          </a:r>
          <a:endParaRPr lang="en-AU" sz="1100"/>
        </a:p>
      </xdr:txBody>
    </xdr:sp>
    <xdr:clientData/>
  </xdr:twoCellAnchor>
  <xdr:twoCellAnchor>
    <xdr:from>
      <xdr:col>9</xdr:col>
      <xdr:colOff>497415</xdr:colOff>
      <xdr:row>3</xdr:row>
      <xdr:rowOff>10583</xdr:rowOff>
    </xdr:from>
    <xdr:to>
      <xdr:col>13</xdr:col>
      <xdr:colOff>211665</xdr:colOff>
      <xdr:row>7</xdr:row>
      <xdr:rowOff>317500</xdr:rowOff>
    </xdr:to>
    <xdr:sp macro="" textlink="">
      <xdr:nvSpPr>
        <xdr:cNvPr id="5" name="Rounded Rectangular Callou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800415" y="613833"/>
          <a:ext cx="2465917" cy="1111250"/>
        </a:xfrm>
        <a:prstGeom prst="wedgeRoundRectCallout">
          <a:avLst>
            <a:gd name="adj1" fmla="val -71698"/>
            <a:gd name="adj2" fmla="val 82831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</a:t>
          </a:r>
          <a:r>
            <a:rPr lang="en-AU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seller-lessee recognizes a </a:t>
          </a:r>
          <a:r>
            <a:rPr lang="en-A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right-of-use </a:t>
          </a:r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asset arising from the leaseback equal to the proportion of the asset’s previous carrying amount it has retained as</a:t>
          </a:r>
          <a:r>
            <a:rPr lang="en-A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a </a:t>
          </a:r>
          <a:r>
            <a:rPr lang="en-A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right-of-use</a:t>
          </a:r>
          <a:endParaRPr lang="en-AU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578556</xdr:colOff>
      <xdr:row>8</xdr:row>
      <xdr:rowOff>67028</xdr:rowOff>
    </xdr:from>
    <xdr:to>
      <xdr:col>15</xdr:col>
      <xdr:colOff>14112</xdr:colOff>
      <xdr:row>13</xdr:row>
      <xdr:rowOff>35279</xdr:rowOff>
    </xdr:to>
    <xdr:sp macro="" textlink="">
      <xdr:nvSpPr>
        <xdr:cNvPr id="6" name="Rounded Rectangular Callou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3151556" y="1972028"/>
          <a:ext cx="2116667" cy="1061862"/>
        </a:xfrm>
        <a:prstGeom prst="wedgeRoundRectCallout">
          <a:avLst>
            <a:gd name="adj1" fmla="val -107062"/>
            <a:gd name="adj2" fmla="val 3789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gain on disposal is recognized only to the extent that rights of use have transferred to the buyer-lessor</a:t>
          </a:r>
          <a:endParaRPr lang="en-AU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tabSelected="1" zoomScale="90" zoomScaleNormal="90" zoomScaleSheetLayoutView="90" workbookViewId="0">
      <selection activeCell="D3" sqref="D3"/>
    </sheetView>
  </sheetViews>
  <sheetFormatPr defaultColWidth="8.875" defaultRowHeight="15.75" x14ac:dyDescent="0.25"/>
  <cols>
    <col min="1" max="1" width="28.875" style="1" customWidth="1"/>
    <col min="2" max="5" width="15.625" style="1" customWidth="1"/>
    <col min="6" max="6" width="2.5" style="1" customWidth="1"/>
    <col min="7" max="7" width="8.875" style="1"/>
    <col min="8" max="8" width="34.375" style="1" customWidth="1"/>
    <col min="9" max="9" width="10.625" style="1" customWidth="1"/>
    <col min="10" max="10" width="12.875" style="1" bestFit="1" customWidth="1"/>
    <col min="11" max="16384" width="8.875" style="1"/>
  </cols>
  <sheetData>
    <row r="1" spans="1:10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0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0" x14ac:dyDescent="0.25">
      <c r="A3" s="14" t="s">
        <v>18</v>
      </c>
      <c r="B3" s="14"/>
      <c r="C3" s="15">
        <v>750000</v>
      </c>
      <c r="D3" s="14"/>
      <c r="E3" s="14"/>
      <c r="F3" s="14"/>
      <c r="G3" s="14"/>
      <c r="H3" s="14"/>
      <c r="I3" s="14"/>
    </row>
    <row r="4" spans="1:10" ht="15.75" customHeight="1" x14ac:dyDescent="0.25">
      <c r="A4" s="14" t="s">
        <v>19</v>
      </c>
      <c r="B4" s="14"/>
      <c r="C4" s="15">
        <v>650000</v>
      </c>
      <c r="D4" s="14"/>
      <c r="E4" s="14"/>
      <c r="F4" s="14"/>
      <c r="G4" s="14"/>
      <c r="H4" s="14"/>
      <c r="I4" s="14"/>
    </row>
    <row r="5" spans="1:10" x14ac:dyDescent="0.25">
      <c r="A5" s="14" t="s">
        <v>5</v>
      </c>
      <c r="B5" s="14"/>
      <c r="C5" s="27">
        <v>0.06</v>
      </c>
      <c r="D5" s="16"/>
      <c r="E5" s="14"/>
      <c r="F5" s="14"/>
      <c r="G5" s="14"/>
      <c r="H5" s="14"/>
      <c r="I5" s="14"/>
    </row>
    <row r="6" spans="1:10" x14ac:dyDescent="0.25">
      <c r="A6" s="14" t="s">
        <v>4</v>
      </c>
      <c r="B6" s="14"/>
      <c r="C6" s="31">
        <f>(1+C5)</f>
        <v>1.06</v>
      </c>
      <c r="D6" s="17"/>
      <c r="E6" s="14"/>
      <c r="F6" s="14"/>
      <c r="G6" s="14"/>
      <c r="H6" s="14"/>
      <c r="I6" s="14"/>
    </row>
    <row r="7" spans="1:10" x14ac:dyDescent="0.25">
      <c r="A7" s="14"/>
      <c r="B7" s="14"/>
      <c r="C7" s="18"/>
      <c r="D7" s="14"/>
      <c r="E7" s="14"/>
      <c r="F7" s="14"/>
      <c r="G7" s="14"/>
      <c r="H7" s="14"/>
      <c r="I7" s="14"/>
    </row>
    <row r="8" spans="1:10" ht="31.5" x14ac:dyDescent="0.25">
      <c r="A8" s="14"/>
      <c r="B8" s="19" t="s">
        <v>0</v>
      </c>
      <c r="C8" s="20" t="s">
        <v>1</v>
      </c>
      <c r="D8" s="19" t="s">
        <v>2</v>
      </c>
      <c r="E8" s="19" t="s">
        <v>3</v>
      </c>
      <c r="F8" s="14"/>
      <c r="G8" s="14"/>
      <c r="H8" s="21" t="s">
        <v>30</v>
      </c>
      <c r="I8" s="14"/>
    </row>
    <row r="9" spans="1:10" x14ac:dyDescent="0.25">
      <c r="A9" s="14"/>
      <c r="B9" s="14"/>
      <c r="C9" s="18"/>
      <c r="D9" s="14"/>
      <c r="E9" s="15"/>
      <c r="F9" s="14"/>
      <c r="G9" s="14"/>
      <c r="H9" s="14" t="s">
        <v>32</v>
      </c>
      <c r="I9" s="32">
        <v>750000</v>
      </c>
    </row>
    <row r="10" spans="1:10" x14ac:dyDescent="0.25">
      <c r="A10" s="22" t="s">
        <v>17</v>
      </c>
      <c r="B10" s="18" t="s">
        <v>6</v>
      </c>
      <c r="C10" s="23">
        <v>95000</v>
      </c>
      <c r="D10" s="17">
        <f>C6</f>
        <v>1.06</v>
      </c>
      <c r="E10" s="15">
        <f>C10/D10</f>
        <v>89622.641509433961</v>
      </c>
      <c r="F10" s="14"/>
      <c r="G10" s="14"/>
      <c r="H10" s="14" t="s">
        <v>33</v>
      </c>
      <c r="I10" s="15">
        <f>C4*(E20/C3)</f>
        <v>605980.50056647649</v>
      </c>
    </row>
    <row r="11" spans="1:10" x14ac:dyDescent="0.25">
      <c r="A11" s="14"/>
      <c r="B11" s="18" t="s">
        <v>7</v>
      </c>
      <c r="C11" s="23">
        <f>C10</f>
        <v>95000</v>
      </c>
      <c r="D11" s="17">
        <f>D10*$C$6</f>
        <v>1.1236000000000002</v>
      </c>
      <c r="E11" s="15">
        <f>C11/D11</f>
        <v>84549.661801352777</v>
      </c>
      <c r="F11" s="14"/>
      <c r="G11" s="14"/>
      <c r="H11" s="24" t="s">
        <v>31</v>
      </c>
      <c r="J11" s="32">
        <f>C4</f>
        <v>650000</v>
      </c>
    </row>
    <row r="12" spans="1:10" x14ac:dyDescent="0.25">
      <c r="A12" s="14"/>
      <c r="B12" s="18" t="s">
        <v>8</v>
      </c>
      <c r="C12" s="23">
        <f t="shared" ref="C12:C19" si="0">C11</f>
        <v>95000</v>
      </c>
      <c r="D12" s="17">
        <f t="shared" ref="D12:D19" si="1">D11*$C$6</f>
        <v>1.1910160000000003</v>
      </c>
      <c r="E12" s="15">
        <f>C12/D12</f>
        <v>79763.831888068657</v>
      </c>
      <c r="F12" s="14"/>
      <c r="G12" s="14"/>
      <c r="H12" s="24" t="s">
        <v>26</v>
      </c>
      <c r="J12" s="25">
        <f>E20</f>
        <v>699208.269884396</v>
      </c>
    </row>
    <row r="13" spans="1:10" x14ac:dyDescent="0.25">
      <c r="A13" s="14"/>
      <c r="B13" s="18" t="s">
        <v>9</v>
      </c>
      <c r="C13" s="23">
        <f t="shared" si="0"/>
        <v>95000</v>
      </c>
      <c r="D13" s="17">
        <f t="shared" si="1"/>
        <v>1.2624769600000003</v>
      </c>
      <c r="E13" s="15">
        <f>C13/D13</f>
        <v>75248.898007611933</v>
      </c>
      <c r="F13" s="14"/>
      <c r="G13" s="14"/>
      <c r="H13" s="24" t="s">
        <v>20</v>
      </c>
      <c r="J13" s="15">
        <f>(C3-C4)*((C3-E20)/C3)</f>
        <v>6772.2306820805334</v>
      </c>
    </row>
    <row r="14" spans="1:10" x14ac:dyDescent="0.25">
      <c r="A14" s="14"/>
      <c r="B14" s="18" t="s">
        <v>10</v>
      </c>
      <c r="C14" s="23">
        <f t="shared" si="0"/>
        <v>95000</v>
      </c>
      <c r="D14" s="17">
        <f t="shared" si="1"/>
        <v>1.3382255776000005</v>
      </c>
      <c r="E14" s="15">
        <f t="shared" ref="E14:E19" si="2">C14/D14</f>
        <v>70989.526422275405</v>
      </c>
      <c r="F14" s="14"/>
      <c r="G14" s="14"/>
      <c r="H14" s="26" t="s">
        <v>34</v>
      </c>
      <c r="I14" s="14"/>
    </row>
    <row r="15" spans="1:10" x14ac:dyDescent="0.25">
      <c r="A15" s="14"/>
      <c r="B15" s="18" t="s">
        <v>11</v>
      </c>
      <c r="C15" s="23">
        <f t="shared" si="0"/>
        <v>95000</v>
      </c>
      <c r="D15" s="17">
        <f t="shared" si="1"/>
        <v>1.4185191122560006</v>
      </c>
      <c r="E15" s="15">
        <f t="shared" si="2"/>
        <v>66971.251341769253</v>
      </c>
      <c r="F15" s="14"/>
      <c r="G15" s="14"/>
      <c r="H15" s="14"/>
      <c r="I15" s="14"/>
    </row>
    <row r="16" spans="1:10" x14ac:dyDescent="0.25">
      <c r="A16" s="14"/>
      <c r="B16" s="18" t="s">
        <v>12</v>
      </c>
      <c r="C16" s="23">
        <f t="shared" si="0"/>
        <v>95000</v>
      </c>
      <c r="D16" s="17">
        <f t="shared" si="1"/>
        <v>1.5036302589913606</v>
      </c>
      <c r="E16" s="15">
        <f t="shared" si="2"/>
        <v>63180.425794121933</v>
      </c>
      <c r="F16" s="14"/>
      <c r="G16" s="14"/>
      <c r="H16" s="21" t="s">
        <v>35</v>
      </c>
      <c r="I16" s="14"/>
    </row>
    <row r="17" spans="1:10" x14ac:dyDescent="0.25">
      <c r="A17" s="14"/>
      <c r="B17" s="18" t="s">
        <v>13</v>
      </c>
      <c r="C17" s="23">
        <f t="shared" si="0"/>
        <v>95000</v>
      </c>
      <c r="D17" s="17">
        <f t="shared" si="1"/>
        <v>1.5938480745308423</v>
      </c>
      <c r="E17" s="15">
        <f t="shared" si="2"/>
        <v>59604.175277473514</v>
      </c>
      <c r="F17" s="14"/>
      <c r="G17" s="14"/>
      <c r="H17" s="14" t="s">
        <v>24</v>
      </c>
      <c r="I17" s="32">
        <f>J18</f>
        <v>95000</v>
      </c>
    </row>
    <row r="18" spans="1:10" x14ac:dyDescent="0.25">
      <c r="A18" s="14"/>
      <c r="B18" s="18" t="s">
        <v>14</v>
      </c>
      <c r="C18" s="23">
        <f t="shared" si="0"/>
        <v>95000</v>
      </c>
      <c r="D18" s="17">
        <f t="shared" si="1"/>
        <v>1.6894789590026928</v>
      </c>
      <c r="E18" s="15">
        <f t="shared" si="2"/>
        <v>56230.354035352379</v>
      </c>
      <c r="F18" s="14"/>
      <c r="G18" s="14"/>
      <c r="H18" s="24" t="s">
        <v>21</v>
      </c>
      <c r="J18" s="32">
        <f>C10</f>
        <v>95000</v>
      </c>
    </row>
    <row r="19" spans="1:10" x14ac:dyDescent="0.25">
      <c r="A19" s="14"/>
      <c r="B19" s="18" t="s">
        <v>15</v>
      </c>
      <c r="C19" s="23">
        <f t="shared" si="0"/>
        <v>95000</v>
      </c>
      <c r="D19" s="17">
        <f t="shared" si="1"/>
        <v>1.7908476965428546</v>
      </c>
      <c r="E19" s="15">
        <f t="shared" si="2"/>
        <v>53047.503806936198</v>
      </c>
      <c r="F19" s="14"/>
      <c r="G19" s="14"/>
      <c r="H19" s="26" t="s">
        <v>27</v>
      </c>
      <c r="I19" s="14"/>
    </row>
    <row r="20" spans="1:10" ht="16.5" thickBot="1" x14ac:dyDescent="0.3">
      <c r="A20" s="28" t="s">
        <v>16</v>
      </c>
      <c r="B20" s="29"/>
      <c r="C20" s="29"/>
      <c r="D20" s="29"/>
      <c r="E20" s="30">
        <f>SUM(E10:E19)</f>
        <v>699208.269884396</v>
      </c>
      <c r="F20" s="14"/>
      <c r="G20" s="25"/>
      <c r="H20" s="14"/>
      <c r="I20" s="14"/>
    </row>
    <row r="21" spans="1:10" ht="16.5" thickTop="1" x14ac:dyDescent="0.25">
      <c r="A21" s="14"/>
      <c r="B21" s="14"/>
      <c r="C21" s="14"/>
      <c r="D21" s="14"/>
      <c r="E21" s="15"/>
      <c r="F21" s="14"/>
      <c r="G21" s="14"/>
      <c r="H21" s="14" t="s">
        <v>25</v>
      </c>
      <c r="I21" s="32">
        <f>J22</f>
        <v>41952.496193063758</v>
      </c>
    </row>
    <row r="22" spans="1:10" x14ac:dyDescent="0.25">
      <c r="A22" s="14"/>
      <c r="B22" s="14"/>
      <c r="C22" s="14"/>
      <c r="D22" s="14"/>
      <c r="E22" s="15"/>
      <c r="F22" s="14"/>
      <c r="G22" s="14"/>
      <c r="H22" s="24" t="s">
        <v>26</v>
      </c>
      <c r="J22" s="32">
        <f>E20*C5</f>
        <v>41952.496193063758</v>
      </c>
    </row>
    <row r="23" spans="1:10" x14ac:dyDescent="0.25">
      <c r="A23" s="14"/>
      <c r="B23" s="14"/>
      <c r="C23" s="14"/>
      <c r="D23" s="14"/>
      <c r="E23" s="15"/>
      <c r="F23" s="14"/>
      <c r="G23" s="14"/>
      <c r="H23" s="26" t="s">
        <v>28</v>
      </c>
      <c r="I23" s="14"/>
    </row>
    <row r="24" spans="1:10" x14ac:dyDescent="0.25">
      <c r="A24" s="14"/>
      <c r="B24" s="14"/>
      <c r="C24" s="14"/>
      <c r="D24" s="14"/>
      <c r="E24" s="15"/>
      <c r="F24" s="14"/>
      <c r="G24" s="14"/>
      <c r="H24" s="14"/>
      <c r="I24" s="14"/>
    </row>
    <row r="25" spans="1:10" x14ac:dyDescent="0.25">
      <c r="A25" s="14"/>
      <c r="B25" s="14"/>
      <c r="C25" s="14"/>
      <c r="D25" s="14"/>
      <c r="E25" s="15"/>
      <c r="F25" s="14"/>
      <c r="G25" s="14"/>
      <c r="H25" s="14" t="s">
        <v>23</v>
      </c>
      <c r="I25" s="32">
        <f>J26</f>
        <v>60598.050056647648</v>
      </c>
    </row>
    <row r="26" spans="1:10" x14ac:dyDescent="0.25">
      <c r="A26" s="14"/>
      <c r="B26" s="14"/>
      <c r="C26" s="14"/>
      <c r="D26" s="14"/>
      <c r="E26" s="15"/>
      <c r="F26" s="14"/>
      <c r="G26" s="14"/>
      <c r="H26" s="24" t="s">
        <v>22</v>
      </c>
      <c r="J26" s="32">
        <f>(I10/10)</f>
        <v>60598.050056647648</v>
      </c>
    </row>
    <row r="27" spans="1:10" x14ac:dyDescent="0.25">
      <c r="A27" s="14"/>
      <c r="B27" s="14"/>
      <c r="C27" s="14"/>
      <c r="D27" s="14"/>
      <c r="E27" s="15"/>
      <c r="F27" s="14"/>
      <c r="G27" s="14"/>
      <c r="H27" s="26" t="s">
        <v>29</v>
      </c>
      <c r="I27" s="14"/>
    </row>
    <row r="28" spans="1:10" x14ac:dyDescent="0.25">
      <c r="C28" s="10"/>
    </row>
    <row r="29" spans="1:10" x14ac:dyDescent="0.25">
      <c r="C29" s="11"/>
      <c r="D29" s="4"/>
    </row>
    <row r="30" spans="1:10" x14ac:dyDescent="0.25">
      <c r="C30" s="3"/>
      <c r="D30" s="5"/>
    </row>
    <row r="31" spans="1:10" x14ac:dyDescent="0.25">
      <c r="C31" s="12"/>
    </row>
    <row r="32" spans="1:10" x14ac:dyDescent="0.25">
      <c r="B32" s="7"/>
      <c r="C32" s="8"/>
      <c r="D32" s="7"/>
      <c r="E32" s="7"/>
    </row>
    <row r="33" spans="1:5" x14ac:dyDescent="0.25">
      <c r="B33" s="6"/>
      <c r="C33" s="13"/>
      <c r="D33" s="5"/>
      <c r="E33" s="2"/>
    </row>
    <row r="34" spans="1:5" x14ac:dyDescent="0.25">
      <c r="E34" s="2"/>
    </row>
    <row r="35" spans="1:5" x14ac:dyDescent="0.25">
      <c r="A35" s="9"/>
      <c r="E35" s="2"/>
    </row>
    <row r="36" spans="1:5" x14ac:dyDescent="0.25">
      <c r="E36" s="2"/>
    </row>
    <row r="37" spans="1:5" x14ac:dyDescent="0.25">
      <c r="E37" s="2"/>
    </row>
  </sheetData>
  <phoneticPr fontId="0" type="noConversion"/>
  <pageMargins left="0.74803149606299213" right="0.74803149606299213" top="0.98425196850393704" bottom="0.98425196850393704" header="0.51181102362204722" footer="0.51181102362204722"/>
  <pageSetup paperSize="9" scale="58" orientation="landscape" cellComments="asDisplayed" r:id="rId1"/>
  <headerFooter alignWithMargins="0">
    <oddFooter>&amp;L© 2022. For information, contact Deloitte Global.</oddFooter>
  </headerFooter>
  <customProperties>
    <customPr name="EpmWorksheetKeyString_GU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56C510D562A43ADA75CF05869825E" ma:contentTypeVersion="5" ma:contentTypeDescription="Create a new document." ma:contentTypeScope="" ma:versionID="55e926f068c3ac38dee5357efeb4fd8e">
  <xsd:schema xmlns:xsd="http://www.w3.org/2001/XMLSchema" xmlns:xs="http://www.w3.org/2001/XMLSchema" xmlns:p="http://schemas.microsoft.com/office/2006/metadata/properties" xmlns:ns2="d9731965-c158-4008-b1a6-ef4828f26ff7" targetNamespace="http://schemas.microsoft.com/office/2006/metadata/properties" ma:root="true" ma:fieldsID="6ae28bd3483709de09ff54cbbdb8200c" ns2:_="">
    <xsd:import namespace="d9731965-c158-4008-b1a6-ef4828f26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31965-c158-4008-b1a6-ef4828f26f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EFB2A8-BE00-4C4B-AD56-2445CD31DE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A664F8-A0C8-46B9-AE71-5197D68E40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1AAF318-1677-42A7-ABC1-A4F020B88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31965-c158-4008-b1a6-ef4828f26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Session 3</vt:lpstr>
    </vt:vector>
  </TitlesOfParts>
  <Company>Deloitte &amp; Touche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Fisher</dc:creator>
  <cp:lastModifiedBy>Leena Mulye</cp:lastModifiedBy>
  <cp:lastPrinted>2022-05-31T01:35:36Z</cp:lastPrinted>
  <dcterms:created xsi:type="dcterms:W3CDTF">2002-12-02T20:19:46Z</dcterms:created>
  <dcterms:modified xsi:type="dcterms:W3CDTF">2022-11-16T02:55:32Z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0x01010072656C510D562A43ADA75CF05869825E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2022-02-15T17:37:36Z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dbaef976-f8ad-4d83-aa37-0b0b47147284</vt:lpwstr>
  </property>
  <property fmtid="{D5CDD505-2E9C-101B-9397-08002B2CF9AE}" pid="9" name="MSIP_Label_ea60d57e-af5b-4752-ac57-3e4f28ca11dc_ContentBits">
    <vt:lpwstr>0</vt:lpwstr>
  </property>
</Properties>
</file>